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sante\PasanteKM\OneDrive - WellPerf\Escritorio\TESIS-EPN\Web-TIC\SUS\"/>
    </mc:Choice>
  </mc:AlternateContent>
  <xr:revisionPtr revIDLastSave="0" documentId="13_ncr:1_{5EA28197-E4F8-43EB-915D-C5C5FCDFAB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S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 s="1"/>
</calcChain>
</file>

<file path=xl/sharedStrings.xml><?xml version="1.0" encoding="utf-8"?>
<sst xmlns="http://schemas.openxmlformats.org/spreadsheetml/2006/main" count="44" uniqueCount="35">
  <si>
    <t>Average
SCORE</t>
  </si>
  <si>
    <t>Average
GRADE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</si>
  <si>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</si>
  <si>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</si>
  <si>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</si>
  <si>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</si>
  <si>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</si>
  <si>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</si>
  <si>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</si>
  <si>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</si>
  <si>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</si>
  <si>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</si>
  <si>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SUS 
Score</t>
  </si>
  <si>
    <t>SUS 
Grade</t>
  </si>
  <si>
    <t>I think that I would like to use this website again</t>
  </si>
  <si>
    <t>I found the website unnecessarily complex</t>
  </si>
  <si>
    <t>I thought the website was easy to use</t>
  </si>
  <si>
    <t>I think I would need the support of a technical person to be able to use this website</t>
  </si>
  <si>
    <t>I found the various functions in this website were well integrated</t>
  </si>
  <si>
    <t>I thought this website was too inconsistent</t>
  </si>
  <si>
    <t>I would imagine that most people would learn to use this website very quickly</t>
  </si>
  <si>
    <t>I found the website very cumbersome to use</t>
  </si>
  <si>
    <t>I felt very comfortable using the website</t>
  </si>
  <si>
    <t>I need to learn a lot of things before I could get going with this website</t>
  </si>
  <si>
    <t>Participant 1</t>
  </si>
  <si>
    <t>A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</si>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</sst>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21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rgb="FF000000"/>
      <name val="Calibri"/>
      <family val="2"/>
    </font>
    <font>
      <b/>
      <sz val="13"/>
      <color theme="1"/>
      <name val="Arial"/>
      <family val="2"/>
      <scheme val="minor"/>
    </font>
    <font>
      <sz val="14"/>
      <color rgb="FF000000"/>
      <name val="Calibri"/>
      <family val="2"/>
    </font>
    <font>
      <sz val="13"/>
      <color theme="1"/>
      <name val="Arial"/>
      <family val="2"/>
      <scheme val="minor"/>
    </font>
    <font>
      <b/>
      <sz val="13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4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FFFF"/>
      </left>
      <right style="thin">
        <color theme="0" tint="-0.249977111117893"/>
      </right>
      <top style="thin">
        <color rgb="FFFFFFFF"/>
      </top>
      <bottom style="thin">
        <color rgb="FFFFFFF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249977111117893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8" fillId="0" borderId="0" xfId="0" applyFont="1" applyAlignment="1" applyProtection="1">
      <alignment horizontal="center"/>
      <protection locked="0"/>
    </xf>
    <xf numFmtId="0" fontId="6" fillId="0" borderId="15" xfId="0" applyFont="1" applyBorder="1" applyAlignment="1" applyProtection="1">
      <alignment wrapText="1"/>
      <protection locked="0"/>
    </xf>
    <xf numFmtId="0" fontId="6" fillId="0" borderId="17" xfId="0" applyFont="1" applyBorder="1" applyAlignment="1" applyProtection="1">
      <alignment wrapText="1"/>
      <protection locked="0"/>
    </xf>
    <xf numFmtId="0" fontId="6" fillId="0" borderId="20" xfId="0" applyFont="1" applyBorder="1" applyAlignment="1" applyProtection="1">
      <alignment wrapText="1"/>
      <protection locked="0"/>
    </xf>
    <xf numFmtId="0" fontId="6" fillId="0" borderId="19" xfId="0" applyFont="1" applyBorder="1" applyAlignment="1" applyProtection="1">
      <alignment wrapText="1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2" borderId="4" xfId="0" applyFont="1" applyFill="1" applyBorder="1"/>
    <xf numFmtId="0" fontId="0" fillId="0" borderId="8" xfId="0" applyBorder="1"/>
    <xf numFmtId="0" fontId="1" fillId="2" borderId="5" xfId="0" applyFont="1" applyFill="1" applyBorder="1"/>
    <xf numFmtId="0" fontId="2" fillId="3" borderId="6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5" fillId="0" borderId="14" xfId="0" applyFont="1" applyBorder="1"/>
    <xf numFmtId="0" fontId="10" fillId="0" borderId="11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" fillId="2" borderId="9" xfId="0" applyFont="1" applyFill="1" applyBorder="1"/>
    <xf numFmtId="0" fontId="1" fillId="2" borderId="12" xfId="0" applyFont="1" applyFill="1" applyBorder="1" applyAlignment="1">
      <alignment wrapText="1"/>
    </xf>
    <xf numFmtId="0" fontId="5" fillId="0" borderId="15" xfId="0" applyFont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2" xfId="0" applyFont="1" applyFill="1" applyBorder="1"/>
    <xf numFmtId="0" fontId="7" fillId="0" borderId="0" xfId="0" applyFont="1"/>
    <xf numFmtId="0" fontId="1" fillId="2" borderId="8" xfId="0" applyFont="1" applyFill="1" applyBorder="1"/>
    <xf numFmtId="0" fontId="0" fillId="0" borderId="23" xfId="0" applyBorder="1"/>
    <xf numFmtId="0" fontId="1" fillId="3" borderId="8" xfId="0" applyFont="1" applyFill="1" applyBorder="1"/>
    <xf numFmtId="0" fontId="0" fillId="0" borderId="10" xfId="0" applyBorder="1"/>
    <xf numFmtId="0" fontId="1" fillId="2" borderId="1" xfId="0" applyFont="1" applyFill="1" applyBorder="1" applyAlignment="1">
      <alignment horizontal="center"/>
    </xf>
    <xf numFmtId="0" fontId="0" fillId="0" borderId="27" xfId="0" applyBorder="1"/>
    <xf numFmtId="0" fontId="0" fillId="0" borderId="3" xfId="0" applyBorder="1"/>
    <xf numFmtId="0" fontId="0" fillId="0" borderId="28" xfId="0" applyBorder="1"/>
    <xf numFmtId="0" fontId="0" fillId="0" borderId="0" xfId="0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4" fontId="3" fillId="2" borderId="26" xfId="0" applyNumberFormat="1" applyFont="1" applyFill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1" fillId="0" borderId="22" xfId="0" applyFont="1" applyBorder="1" applyAlignment="1">
      <alignment horizontal="center" vertical="center" wrapText="1"/>
    </xf>
    <xf numFmtId="0" fontId="0" fillId="0" borderId="33" xfId="0" applyBorder="1"/>
    <xf numFmtId="0" fontId="11" fillId="0" borderId="13" xfId="0" applyFont="1" applyBorder="1" applyAlignment="1">
      <alignment horizontal="center" vertical="center" wrapText="1"/>
    </xf>
    <xf numFmtId="0" fontId="0" fillId="0" borderId="34" xfId="0" applyBorder="1"/>
    <xf numFmtId="0" fontId="12" fillId="0" borderId="26" xfId="0" applyFont="1" applyBorder="1" applyAlignment="1">
      <alignment horizontal="center" wrapText="1"/>
    </xf>
    <xf numFmtId="0" fontId="0" fillId="0" borderId="36" xfId="0" applyBorder="1"/>
    <xf numFmtId="0" fontId="12" fillId="3" borderId="25" xfId="0" applyFont="1" applyFill="1" applyBorder="1" applyAlignment="1">
      <alignment horizontal="center" wrapText="1"/>
    </xf>
    <xf numFmtId="0" fontId="0" fillId="0" borderId="24" xfId="0" applyBorder="1"/>
    <xf numFmtId="0" fontId="4" fillId="2" borderId="24" xfId="0" applyFont="1" applyFill="1" applyBorder="1" applyAlignment="1" applyProtection="1">
      <alignment horizontal="center" vertical="center"/>
      <protection hidden="1"/>
    </xf>
    <xf numFmtId="0" fontId="0" fillId="0" borderId="37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38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10">
    <dxf>
      <font>
        <color theme="1" tint="4.9989318521683403E-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1" tint="4.9989318521683403E-2"/>
      </font>
      <fill>
        <patternFill patternType="solid">
          <fgColor rgb="FF34A853"/>
          <bgColor rgb="FF34A853"/>
        </patternFill>
      </fill>
    </dxf>
    <dxf>
      <font>
        <color theme="1" tint="4.9989318521683403E-2"/>
      </font>
      <fill>
        <patternFill patternType="solid">
          <fgColor rgb="FF34A853"/>
          <bgColor rgb="FF34A85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ont>
        <color theme="1" tint="4.9989318521683403E-2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"/>
  <sheetViews>
    <sheetView tabSelected="1" zoomScale="55" zoomScaleNormal="55" workbookViewId="0">
      <selection activeCell="P17" sqref="P17"/>
    </sheetView>
  </sheetViews>
  <sheetFormatPr defaultColWidth="12.6640625" defaultRowHeight="15.75" customHeight="1" x14ac:dyDescent="0.25"/>
  <cols>
    <col min="2" max="2" width="16" customWidth="1"/>
    <col min="3" max="12" width="18.109375" customWidth="1"/>
    <col min="16" max="20" width="12.6640625" style="11" customWidth="1"/>
  </cols>
  <sheetData>
    <row r="1" spans="1:15" ht="13.2" customHeight="1" x14ac:dyDescent="0.25">
      <c r="A1" s="7"/>
      <c r="B1" s="8"/>
      <c r="C1" s="9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10"/>
    </row>
    <row r="2" spans="1:15" ht="16.95" customHeight="1" x14ac:dyDescent="0.25">
      <c r="A2" s="10"/>
      <c r="B2" s="47" t="s">
        <v>0</v>
      </c>
      <c r="C2" s="49" t="s">
        <v>1</v>
      </c>
      <c r="D2" s="9"/>
      <c r="E2" s="12"/>
      <c r="F2" s="7"/>
      <c r="G2" s="7"/>
      <c r="H2" s="7"/>
      <c r="I2" s="7"/>
      <c r="J2" s="7"/>
      <c r="K2" s="7"/>
      <c r="L2" s="31" t="e">
        <v>#VALUE!</v>
      </c>
      <c r="M2" s="32"/>
      <c r="N2" s="33"/>
      <c r="O2" s="10"/>
    </row>
    <row r="3" spans="1:15" ht="24" customHeight="1" x14ac:dyDescent="0.25">
      <c r="A3" s="10"/>
      <c r="B3" s="48"/>
      <c r="C3" s="50"/>
      <c r="D3" s="9"/>
      <c r="E3" s="12"/>
      <c r="F3" s="7"/>
      <c r="G3" s="7"/>
      <c r="H3" s="7"/>
      <c r="I3" s="7"/>
      <c r="J3" s="7"/>
      <c r="K3" s="7"/>
      <c r="L3" s="34"/>
      <c r="M3" s="35"/>
      <c r="N3" s="36"/>
      <c r="O3" s="10"/>
    </row>
    <row r="4" spans="1:15" ht="13.2" customHeight="1" x14ac:dyDescent="0.25">
      <c r="A4" s="10"/>
      <c r="B4" s="40">
        <f>IF(COUNTIF(M10:M19,"&lt;&gt;-")=0, "-", AVERAGE(M10:M19))</f>
        <v>86.5</v>
      </c>
      <c r="C4" s="51" t="str">
        <f>IF(B4="-", "-", IF(B4&lt;51.7, "F", IF(B4&lt;62.7, "D", IF(B4&lt;72.6, "C", IF(B4&lt;78.9, "B", "A")))))</f>
        <v>A</v>
      </c>
      <c r="D4" s="9"/>
      <c r="E4" s="12"/>
      <c r="F4" s="7"/>
      <c r="G4" s="7"/>
      <c r="H4" s="7"/>
      <c r="I4" s="7"/>
      <c r="J4" s="7"/>
      <c r="K4" s="7"/>
      <c r="L4" s="34"/>
      <c r="M4" s="35"/>
      <c r="N4" s="36"/>
      <c r="O4" s="10"/>
    </row>
    <row r="5" spans="1:15" ht="18" customHeight="1" x14ac:dyDescent="0.25">
      <c r="A5" s="10"/>
      <c r="B5" s="41"/>
      <c r="C5" s="52"/>
      <c r="D5" s="9"/>
      <c r="E5" s="12"/>
      <c r="F5" s="7"/>
      <c r="G5" s="7"/>
      <c r="H5" s="7"/>
      <c r="I5" s="7"/>
      <c r="J5" s="7"/>
      <c r="K5" s="7"/>
      <c r="L5" s="37"/>
      <c r="M5" s="38"/>
      <c r="N5" s="39"/>
      <c r="O5" s="10"/>
    </row>
    <row r="6" spans="1:15" ht="18" customHeight="1" x14ac:dyDescent="0.25">
      <c r="A6" s="10"/>
      <c r="B6" s="42"/>
      <c r="C6" s="53"/>
      <c r="D6" s="13"/>
      <c r="E6" s="12"/>
      <c r="F6" s="7"/>
      <c r="G6" s="7"/>
      <c r="H6" s="7"/>
      <c r="I6" s="7"/>
      <c r="J6" s="7"/>
      <c r="K6" s="7"/>
      <c r="L6" s="7"/>
      <c r="M6" s="7"/>
      <c r="N6" s="7"/>
      <c r="O6" s="10"/>
    </row>
    <row r="7" spans="1:15" ht="13.2" customHeight="1" x14ac:dyDescent="0.25">
      <c r="A7" s="7"/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0"/>
    </row>
    <row r="8" spans="1:15" ht="16.8" customHeight="1" x14ac:dyDescent="0.3">
      <c r="A8" s="10"/>
      <c r="B8" s="16"/>
      <c r="C8" s="17" t="s">
        <v>2</v>
      </c>
      <c r="D8" s="18" t="s">
        <v>3</v>
      </c>
      <c r="E8" s="19" t="s">
        <v>4</v>
      </c>
      <c r="F8" s="19" t="s">
        <v>5</v>
      </c>
      <c r="G8" s="19" t="s">
        <v>6</v>
      </c>
      <c r="H8" s="19" t="s">
        <v>7</v>
      </c>
      <c r="I8" s="19" t="s">
        <v>8</v>
      </c>
      <c r="J8" s="19" t="s">
        <v>9</v>
      </c>
      <c r="K8" s="20" t="s">
        <v>10</v>
      </c>
      <c r="L8" s="18" t="s">
        <v>11</v>
      </c>
      <c r="M8" s="43" t="s">
        <v>12</v>
      </c>
      <c r="N8" s="45" t="s">
        <v>13</v>
      </c>
      <c r="O8" s="21"/>
    </row>
    <row r="9" spans="1:15" ht="106.05" customHeight="1" x14ac:dyDescent="0.35">
      <c r="A9" s="22"/>
      <c r="B9" s="23"/>
      <c r="C9" s="2" t="s">
        <v>14</v>
      </c>
      <c r="D9" s="2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4" t="s">
        <v>21</v>
      </c>
      <c r="K9" s="2" t="s">
        <v>22</v>
      </c>
      <c r="L9" s="3" t="s">
        <v>23</v>
      </c>
      <c r="M9" s="44"/>
      <c r="N9" s="46"/>
      <c r="O9" s="24"/>
    </row>
    <row r="10" spans="1:15" ht="19.95" customHeight="1" x14ac:dyDescent="0.35">
      <c r="A10" s="25"/>
      <c r="B10" s="26" t="s">
        <v>24</v>
      </c>
      <c r="C10" s="1">
        <v>5</v>
      </c>
      <c r="D10" s="1">
        <v>1</v>
      </c>
      <c r="E10" s="1">
        <v>5</v>
      </c>
      <c r="F10" s="1">
        <v>2</v>
      </c>
      <c r="G10" s="1">
        <v>4</v>
      </c>
      <c r="H10" s="1">
        <v>1</v>
      </c>
      <c r="I10" s="1">
        <v>5</v>
      </c>
      <c r="J10" s="1">
        <v>1</v>
      </c>
      <c r="K10" s="1">
        <v>4</v>
      </c>
      <c r="L10" s="1">
        <v>2</v>
      </c>
      <c r="M10" s="54">
        <v>90</v>
      </c>
      <c r="N10" s="54" t="s">
        <v>25</v>
      </c>
      <c r="O10" s="21"/>
    </row>
    <row r="11" spans="1:15" ht="19.95" customHeight="1" x14ac:dyDescent="0.35">
      <c r="A11" s="25"/>
      <c r="B11" s="26" t="s">
        <v>26</v>
      </c>
      <c r="C11" s="1">
        <v>4</v>
      </c>
      <c r="D11" s="1">
        <v>2</v>
      </c>
      <c r="E11" s="1">
        <v>4</v>
      </c>
      <c r="F11" s="1">
        <v>1</v>
      </c>
      <c r="G11" s="1">
        <v>4</v>
      </c>
      <c r="H11" s="1">
        <v>1</v>
      </c>
      <c r="I11" s="1">
        <v>4</v>
      </c>
      <c r="J11" s="1">
        <v>2</v>
      </c>
      <c r="K11" s="1">
        <v>5</v>
      </c>
      <c r="L11" s="1">
        <v>1</v>
      </c>
      <c r="M11" s="54">
        <v>85</v>
      </c>
      <c r="N11" s="54" t="s">
        <v>25</v>
      </c>
      <c r="O11" s="21"/>
    </row>
    <row r="12" spans="1:15" ht="19.95" customHeight="1" x14ac:dyDescent="0.35">
      <c r="A12" s="25"/>
      <c r="B12" s="26" t="s">
        <v>27</v>
      </c>
      <c r="C12" s="1">
        <v>5</v>
      </c>
      <c r="D12" s="1">
        <v>1</v>
      </c>
      <c r="E12" s="1">
        <v>4</v>
      </c>
      <c r="F12" s="1">
        <v>1</v>
      </c>
      <c r="G12" s="1">
        <v>4</v>
      </c>
      <c r="H12" s="1">
        <v>2</v>
      </c>
      <c r="I12" s="1">
        <v>5</v>
      </c>
      <c r="J12" s="1">
        <v>2</v>
      </c>
      <c r="K12" s="1">
        <v>5</v>
      </c>
      <c r="L12" s="1">
        <v>2</v>
      </c>
      <c r="M12" s="54">
        <v>87.5</v>
      </c>
      <c r="N12" s="54" t="s">
        <v>25</v>
      </c>
      <c r="O12" s="21"/>
    </row>
    <row r="13" spans="1:15" ht="19.95" customHeight="1" x14ac:dyDescent="0.35">
      <c r="A13" s="25"/>
      <c r="B13" s="26" t="s">
        <v>28</v>
      </c>
      <c r="C13" s="1">
        <v>4</v>
      </c>
      <c r="D13" s="1">
        <v>1</v>
      </c>
      <c r="E13" s="1">
        <v>4</v>
      </c>
      <c r="F13" s="1">
        <v>2</v>
      </c>
      <c r="G13" s="1">
        <v>5</v>
      </c>
      <c r="H13" s="1">
        <v>2</v>
      </c>
      <c r="I13" s="1">
        <v>4</v>
      </c>
      <c r="J13" s="1">
        <v>2</v>
      </c>
      <c r="K13" s="1">
        <v>5</v>
      </c>
      <c r="L13" s="1">
        <v>1</v>
      </c>
      <c r="M13" s="54">
        <v>85</v>
      </c>
      <c r="N13" s="54" t="s">
        <v>25</v>
      </c>
      <c r="O13" s="21"/>
    </row>
    <row r="14" spans="1:15" ht="19.95" customHeight="1" x14ac:dyDescent="0.35">
      <c r="A14" s="25"/>
      <c r="B14" s="26" t="s">
        <v>29</v>
      </c>
      <c r="C14" s="1">
        <v>5</v>
      </c>
      <c r="D14" s="1">
        <v>1</v>
      </c>
      <c r="E14" s="1">
        <v>5</v>
      </c>
      <c r="F14" s="1">
        <v>1</v>
      </c>
      <c r="G14" s="1">
        <v>4</v>
      </c>
      <c r="H14" s="1">
        <v>1</v>
      </c>
      <c r="I14" s="1">
        <v>5</v>
      </c>
      <c r="J14" s="1">
        <v>1</v>
      </c>
      <c r="K14" s="1">
        <v>4</v>
      </c>
      <c r="L14" s="1">
        <v>2</v>
      </c>
      <c r="M14" s="54">
        <v>92.5</v>
      </c>
      <c r="N14" s="54" t="s">
        <v>25</v>
      </c>
      <c r="O14" s="21"/>
    </row>
    <row r="15" spans="1:15" ht="19.95" customHeight="1" x14ac:dyDescent="0.35">
      <c r="A15" s="25"/>
      <c r="B15" s="26" t="s">
        <v>30</v>
      </c>
      <c r="C15" s="1">
        <v>4</v>
      </c>
      <c r="D15" s="1">
        <v>2</v>
      </c>
      <c r="E15" s="1">
        <v>5</v>
      </c>
      <c r="F15" s="1">
        <v>2</v>
      </c>
      <c r="G15" s="1">
        <v>4</v>
      </c>
      <c r="H15" s="1">
        <v>2</v>
      </c>
      <c r="I15" s="1">
        <v>5</v>
      </c>
      <c r="J15" s="1">
        <v>2</v>
      </c>
      <c r="K15" s="1">
        <v>4</v>
      </c>
      <c r="L15" s="1">
        <v>2</v>
      </c>
      <c r="M15" s="54">
        <v>80</v>
      </c>
      <c r="N15" s="54" t="s">
        <v>25</v>
      </c>
      <c r="O15" s="21"/>
    </row>
    <row r="16" spans="1:15" ht="19.95" customHeight="1" x14ac:dyDescent="0.35">
      <c r="A16" s="25"/>
      <c r="B16" s="26" t="s">
        <v>31</v>
      </c>
      <c r="C16" s="1">
        <v>5</v>
      </c>
      <c r="D16" s="1">
        <v>1</v>
      </c>
      <c r="E16" s="1">
        <v>4</v>
      </c>
      <c r="F16" s="1">
        <v>2</v>
      </c>
      <c r="G16" s="1">
        <v>4</v>
      </c>
      <c r="H16" s="1">
        <v>1</v>
      </c>
      <c r="I16" s="1">
        <v>5</v>
      </c>
      <c r="J16" s="1">
        <v>2</v>
      </c>
      <c r="K16" s="1">
        <v>4</v>
      </c>
      <c r="L16" s="1">
        <v>1</v>
      </c>
      <c r="M16" s="54">
        <v>87.5</v>
      </c>
      <c r="N16" s="54" t="s">
        <v>25</v>
      </c>
      <c r="O16" s="21"/>
    </row>
    <row r="17" spans="1:16" ht="19.95" customHeight="1" x14ac:dyDescent="0.35">
      <c r="A17" s="25"/>
      <c r="B17" s="26" t="s">
        <v>32</v>
      </c>
      <c r="C17" s="1">
        <v>4</v>
      </c>
      <c r="D17" s="1">
        <v>2</v>
      </c>
      <c r="E17" s="1">
        <v>5</v>
      </c>
      <c r="F17" s="1">
        <v>2</v>
      </c>
      <c r="G17" s="1">
        <v>5</v>
      </c>
      <c r="H17" s="1">
        <v>2</v>
      </c>
      <c r="I17" s="1">
        <v>4</v>
      </c>
      <c r="J17" s="1">
        <v>1</v>
      </c>
      <c r="K17" s="1">
        <v>4</v>
      </c>
      <c r="L17" s="1">
        <v>1</v>
      </c>
      <c r="M17" s="54">
        <v>85</v>
      </c>
      <c r="N17" s="54" t="s">
        <v>25</v>
      </c>
      <c r="O17" s="21"/>
    </row>
    <row r="18" spans="1:16" ht="19.95" customHeight="1" x14ac:dyDescent="0.35">
      <c r="A18" s="25"/>
      <c r="B18" s="26" t="s">
        <v>33</v>
      </c>
      <c r="C18" s="1">
        <v>5</v>
      </c>
      <c r="D18" s="1">
        <v>2</v>
      </c>
      <c r="E18" s="1">
        <v>5</v>
      </c>
      <c r="F18" s="1">
        <v>1</v>
      </c>
      <c r="G18" s="1">
        <v>4</v>
      </c>
      <c r="H18" s="1">
        <v>1</v>
      </c>
      <c r="I18" s="1">
        <v>5</v>
      </c>
      <c r="J18" s="1">
        <v>2</v>
      </c>
      <c r="K18" s="1">
        <v>4</v>
      </c>
      <c r="L18" s="1">
        <v>1</v>
      </c>
      <c r="M18" s="54">
        <v>90</v>
      </c>
      <c r="N18" s="54" t="s">
        <v>25</v>
      </c>
      <c r="O18" s="21"/>
    </row>
    <row r="19" spans="1:16" ht="19.95" customHeight="1" x14ac:dyDescent="0.35">
      <c r="A19" s="25"/>
      <c r="B19" s="26" t="s">
        <v>34</v>
      </c>
      <c r="C19" s="1">
        <v>5</v>
      </c>
      <c r="D19" s="1">
        <v>1</v>
      </c>
      <c r="E19" s="6">
        <v>4</v>
      </c>
      <c r="F19" s="1">
        <v>2</v>
      </c>
      <c r="G19" s="1">
        <v>4</v>
      </c>
      <c r="H19" s="1">
        <v>2</v>
      </c>
      <c r="I19" s="1">
        <v>5</v>
      </c>
      <c r="J19" s="1">
        <v>2</v>
      </c>
      <c r="K19" s="1">
        <v>4</v>
      </c>
      <c r="L19" s="1">
        <v>2</v>
      </c>
      <c r="M19" s="54">
        <v>82.5</v>
      </c>
      <c r="N19" s="54" t="s">
        <v>25</v>
      </c>
      <c r="O19" s="21"/>
    </row>
    <row r="20" spans="1:16" ht="15.75" customHeight="1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30"/>
    </row>
    <row r="21" spans="1:16" ht="15.75" customHeight="1" x14ac:dyDescent="0.25">
      <c r="A21" s="2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29"/>
      <c r="P21" s="30"/>
    </row>
  </sheetData>
  <mergeCells count="7">
    <mergeCell ref="L2:N5"/>
    <mergeCell ref="B4:B6"/>
    <mergeCell ref="M8:M9"/>
    <mergeCell ref="N8:N9"/>
    <mergeCell ref="B2:B3"/>
    <mergeCell ref="C2:C3"/>
    <mergeCell ref="C4:C6"/>
  </mergeCells>
  <conditionalFormatting sqref="B4 M10:M19">
    <cfRule type="cellIs" dxfId="9" priority="6" operator="lessThan">
      <formula>51.7</formula>
    </cfRule>
    <cfRule type="cellIs" dxfId="8" priority="7" operator="lessThan">
      <formula>62.7</formula>
    </cfRule>
    <cfRule type="cellIs" dxfId="7" priority="8" operator="lessThan">
      <formula>72.6</formula>
    </cfRule>
    <cfRule type="cellIs" dxfId="6" priority="9" operator="lessThan">
      <formula>78.9</formula>
    </cfRule>
    <cfRule type="cellIs" dxfId="5" priority="10" stopIfTrue="1" operator="lessThan">
      <formula>100.1</formula>
    </cfRule>
  </conditionalFormatting>
  <conditionalFormatting sqref="C4 N10:N19">
    <cfRule type="cellIs" dxfId="4" priority="1" operator="equal">
      <formula>"A"</formula>
    </cfRule>
    <cfRule type="cellIs" dxfId="3" priority="2" operator="equal">
      <formula>"B"</formula>
    </cfRule>
    <cfRule type="cellIs" dxfId="2" priority="3" operator="equal">
      <formula>"C"</formula>
    </cfRule>
    <cfRule type="cellIs" dxfId="1" priority="4" operator="equal">
      <formula>"D"</formula>
    </cfRule>
    <cfRule type="cellIs" dxfId="0" priority="5" operator="equal">
      <formula>"F"</formula>
    </cfRule>
  </conditionalFormatting>
  <dataValidations count="1">
    <dataValidation type="whole" errorStyle="warning" allowBlank="1" showDropDown="1" sqref="C10:L19" xr:uid="{00000000-0002-0000-0000-000000000000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Wireline Admin</cp:lastModifiedBy>
  <dcterms:created xsi:type="dcterms:W3CDTF">2024-03-07T18:14:08Z</dcterms:created>
  <dcterms:modified xsi:type="dcterms:W3CDTF">2026-06-23T19:28:44Z</dcterms:modified>
</cp:coreProperties>
</file>